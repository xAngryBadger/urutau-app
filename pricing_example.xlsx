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Item</t>
        </is>
      </c>
      <c r="B1" t="inlineStr">
        <is>
          <t>Description</t>
        </is>
      </c>
      <c r="C1" t="inlineStr">
        <is>
          <t>Horas</t>
        </is>
      </c>
      <c r="D1" t="inlineStr">
        <is>
          <t>Taxa_base_R$/h</t>
        </is>
      </c>
      <c r="E1" t="inlineStr">
        <is>
          <t>Indiretos_R$/h (DAS+Overhead)</t>
        </is>
      </c>
      <c r="F1" t="inlineStr">
        <is>
          <t>Custo_hora_total</t>
        </is>
      </c>
      <c r="G1" t="inlineStr">
        <is>
          <t>Subtotal</t>
        </is>
      </c>
      <c r="H1" t="inlineStr">
        <is>
          <t>Contingência_8%</t>
        </is>
      </c>
      <c r="I1" t="inlineStr">
        <is>
          <t>Base_para_margem</t>
        </is>
      </c>
      <c r="J1" t="inlineStr">
        <is>
          <t>Margem_20%</t>
        </is>
      </c>
      <c r="K1" t="inlineStr">
        <is>
          <t>Preço_final</t>
        </is>
      </c>
    </row>
    <row r="2">
      <c r="A2" t="inlineStr">
        <is>
          <t>Esqueleto integrado</t>
        </is>
      </c>
      <c r="B2" t="inlineStr">
        <is>
          <t>Skeleton do app (3h) - cenário A</t>
        </is>
      </c>
      <c r="C2" t="n">
        <v>3</v>
      </c>
      <c r="D2" t="n">
        <v>100</v>
      </c>
      <c r="E2" t="n">
        <v>4.75</v>
      </c>
      <c r="F2">
        <f>D2+E2</f>
        <v/>
      </c>
      <c r="G2">
        <f>C2*F2</f>
        <v/>
      </c>
      <c r="H2">
        <f>G2*0.08</f>
        <v/>
      </c>
      <c r="I2">
        <f>G2+H2</f>
        <v/>
      </c>
      <c r="J2">
        <f>I2*0.20</f>
        <v/>
      </c>
      <c r="K2">
        <f>I2+J2</f>
        <v/>
      </c>
    </row>
    <row r="3">
      <c r="A3" t="inlineStr">
        <is>
          <t>Esqueleto integrado</t>
        </is>
      </c>
      <c r="B3" t="inlineStr">
        <is>
          <t>Skeleton do app (3h) - cenário B</t>
        </is>
      </c>
      <c r="C3" t="n">
        <v>3</v>
      </c>
      <c r="D3" t="n">
        <v>150</v>
      </c>
      <c r="E3" t="n">
        <v>4.75</v>
      </c>
      <c r="F3">
        <f>D3+E3</f>
        <v/>
      </c>
      <c r="G3">
        <f>C3*F3</f>
        <v/>
      </c>
      <c r="H3">
        <f>G3*0.08</f>
        <v/>
      </c>
      <c r="I3">
        <f>G3+H3</f>
        <v/>
      </c>
      <c r="J3">
        <f>I3*0.20</f>
        <v/>
      </c>
      <c r="K3">
        <f>I3+J3</f>
        <v/>
      </c>
    </row>
    <row r="4">
      <c r="A4" t="inlineStr">
        <is>
          <t>Esqueleto integrado</t>
        </is>
      </c>
      <c r="B4" t="inlineStr">
        <is>
          <t>Skeleton do app (3h) - cenário C</t>
        </is>
      </c>
      <c r="C4" t="n">
        <v>3</v>
      </c>
      <c r="D4" t="n">
        <v>200</v>
      </c>
      <c r="E4" t="n">
        <v>4.75</v>
      </c>
      <c r="F4">
        <f>D4+E4</f>
        <v/>
      </c>
      <c r="G4">
        <f>C4*F4</f>
        <v/>
      </c>
      <c r="H4">
        <f>G4*0.08</f>
        <v/>
      </c>
      <c r="I4">
        <f>G4+H4</f>
        <v/>
      </c>
      <c r="J4">
        <f>I4*0.20</f>
        <v/>
      </c>
      <c r="K4">
        <f>I4+J4</f>
        <v/>
      </c>
    </row>
    <row r="5">
      <c r="A5" t="inlineStr">
        <is>
          <t>Projeto completo (referência)</t>
        </is>
      </c>
      <c r="B5" t="inlineStr">
        <is>
          <t>Estimativa total do projeto (R$100.000)</t>
        </is>
      </c>
      <c r="G5" t="n">
        <v>100000</v>
      </c>
      <c r="H5">
        <f>G5*0.08</f>
        <v/>
      </c>
      <c r="I5">
        <f>G5+H5</f>
        <v/>
      </c>
      <c r="J5">
        <f>I5*0.20</f>
        <v/>
      </c>
      <c r="K5">
        <f>I5+J5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2026-02-15T18:36:45Z</dcterms:created>
  <dcterms:modified xmlns:dcterms="http://purl.org/dc/terms/" xmlns:xsi="http://www.w3.org/2001/XMLSchema-instance" xsi:type="dcterms:W3CDTF">2026-02-15T18:36:45Z</dcterms:modified>
</cp:coreProperties>
</file>